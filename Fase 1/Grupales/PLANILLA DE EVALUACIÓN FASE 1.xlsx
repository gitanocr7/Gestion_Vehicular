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Barra-Muñoz-Opazo-Ortega E\"/>
    </mc:Choice>
  </mc:AlternateContent>
  <xr:revisionPtr revIDLastSave="0" documentId="13_ncr:1_{519162C2-3A9E-48F0-900E-4FFC38D58856}"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2" i="1" l="1"/>
  <c r="B67" i="1"/>
  <c r="B66" i="1"/>
  <c r="B65" i="1"/>
  <c r="C61" i="1"/>
  <c r="D68" i="1"/>
  <c r="J67" i="1"/>
  <c r="K67" i="1" s="1"/>
  <c r="H67" i="1"/>
  <c r="I67" i="1" s="1"/>
  <c r="F67" i="1"/>
  <c r="G67" i="1" s="1"/>
  <c r="D67" i="1"/>
  <c r="E67" i="1" s="1"/>
  <c r="J66" i="1"/>
  <c r="K66" i="1" s="1"/>
  <c r="H66" i="1"/>
  <c r="I66" i="1" s="1"/>
  <c r="F66" i="1"/>
  <c r="G66" i="1" s="1"/>
  <c r="D66" i="1"/>
  <c r="E66" i="1" s="1"/>
  <c r="J65" i="1"/>
  <c r="K65" i="1" s="1"/>
  <c r="H65" i="1"/>
  <c r="I65" i="1" s="1"/>
  <c r="I68" i="1" s="1"/>
  <c r="F65" i="1"/>
  <c r="G65" i="1" s="1"/>
  <c r="D65" i="1"/>
  <c r="E65" i="1" s="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1" i="1"/>
  <c r="D31" i="1"/>
  <c r="E31" i="1" s="1"/>
  <c r="B33" i="1"/>
  <c r="J32" i="1"/>
  <c r="K32" i="1" s="1"/>
  <c r="H32" i="1"/>
  <c r="I32" i="1" s="1"/>
  <c r="F32" i="1"/>
  <c r="G32" i="1" s="1"/>
  <c r="D32" i="1"/>
  <c r="E32" i="1" s="1"/>
  <c r="B15" i="1"/>
  <c r="B16" i="1"/>
  <c r="B17" i="1"/>
  <c r="B18" i="1"/>
  <c r="B19" i="1"/>
  <c r="B20" i="1"/>
  <c r="B21" i="1"/>
  <c r="B22" i="1"/>
  <c r="B14" i="1"/>
  <c r="B13" i="1"/>
  <c r="G68" i="1" l="1"/>
  <c r="C68" i="1" s="1"/>
  <c r="C69" i="1" s="1"/>
  <c r="D7" i="1" s="1"/>
  <c r="E68" i="1"/>
  <c r="K68" i="1"/>
  <c r="F68" i="1"/>
  <c r="H68" i="1"/>
  <c r="J68" i="1"/>
  <c r="E57" i="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7" i="1" s="1"/>
  <c r="E7" i="1" s="1"/>
  <c r="C35" i="1" l="1"/>
  <c r="D4" i="1" s="1"/>
  <c r="C6" i="1"/>
  <c r="E6" i="1" s="1"/>
  <c r="C5" i="1"/>
  <c r="E5" i="1" s="1"/>
  <c r="C4" i="1"/>
  <c r="E4" i="1" l="1"/>
</calcChain>
</file>

<file path=xl/sharedStrings.xml><?xml version="1.0" encoding="utf-8"?>
<sst xmlns="http://schemas.openxmlformats.org/spreadsheetml/2006/main" count="173" uniqueCount="99">
  <si>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</si>
  <si>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</si>
  <si>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</si>
  <si>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</si>
  <si>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</si>
  <si>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</si>
  <si>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</si>
  <si>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</si>
  <si>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</si>
  <si>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</si>
  <si>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</si>
  <si>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</si>
  <si>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</si>
  <si>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</si>
  <si>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</si>
  <si>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</si>
  <si>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</si>
  <si>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</si>
  <si>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</si>
  <si>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</si>
  <si>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</si>
  <si>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</si>
  <si>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</si>
  <si>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</si>
  <si>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</si>
  <si>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</si>
  <si>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</si>
  <si>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</si>
  <si>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</si>
  <si>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</si>
  <si>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</si>
  <si>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</si>
  <si>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</si>
  <si>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</si>
  <si>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</si>
  <si>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</si>
  <si>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</si>
  <si>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</si>
  <si>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</si>
  <si>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</si>
  <si>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</si>
  <si>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</si>
  <si>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</si>
  <si>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</si>
  <si>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</si>
  <si>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</si>
  <si>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</si>
  <si>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</si>
  <si>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</si>
  <si>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</si>
  <si>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</si>
  <si>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</si>
  <si>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</si>
  <si>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</si>
  <si>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</si>
  <si>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</si>
  <si>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</si>
  <si>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</si>
  <si>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</si>
  <si>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</si>
  <si>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</si>
  <si>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</si>
  <si>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</si>
  <si>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</si>
  <si>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</si>
  <si>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</si>
  <si>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</si>
  <si>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</si>
  <si>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</si>
  <si>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</si>
  <si>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</si>
  <si>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</si>
  <si>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</si>
  <si>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</si>
  <si>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</si>
  <si>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</si>
  <si>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</si>
  <si>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</si>
  <si>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</si>
  <si>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</si>
  <si>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</si>
  <si>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</si>
  <si>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</si>
  <si>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</si>
  <si>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</si>
  <si>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</si>
  <si>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</si>
  <si>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</si>
  <si>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</si>
  <si>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</si>
  <si>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</si>
  <si>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</si>
  <si>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</si>
  <si>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</si>
  <si>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</si>
  <si>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Franco Barra</t>
  </si>
  <si>
    <t>Benjamín Muñoz</t>
  </si>
  <si>
    <t>Benjamín Opazo</t>
  </si>
  <si>
    <t>Eduardo Ortega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</si>
</sst>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164" fontId="0" fillId="2" borderId="14" xfId="0" applyNumberFormat="1" applyFill="1" applyBorder="1" applyAlignment="1">
      <alignment horizontal="center"/>
    </xf>
    <xf numFmtId="0" fontId="13" fillId="0" borderId="16" xfId="0" applyFont="1" applyBorder="1" applyAlignment="1">
      <alignment horizontal="left"/>
    </xf>
    <xf numFmtId="0" fontId="13" fillId="0" borderId="31" xfId="0" applyFont="1" applyFill="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6" sqref="H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5.4</v>
      </c>
      <c r="D4" s="6">
        <f>$C$35</f>
        <v>6</v>
      </c>
      <c r="E4" s="43">
        <f>C4*C$2+D4*D$2</f>
        <v>5.5500000000000007</v>
      </c>
      <c r="G4" s="1"/>
    </row>
    <row r="5" spans="1:11" x14ac:dyDescent="0.25">
      <c r="A5" s="5">
        <v>2</v>
      </c>
      <c r="B5" s="32" t="s">
        <v>96</v>
      </c>
      <c r="C5" s="6">
        <f>EVALUACION1!$C$24</f>
        <v>5.4</v>
      </c>
      <c r="D5" s="6">
        <f>C47</f>
        <v>6</v>
      </c>
      <c r="E5" s="43">
        <f t="shared" ref="E5:E6" si="0">C5*C$2+D5*D$2</f>
        <v>5.5500000000000007</v>
      </c>
      <c r="G5" s="1"/>
    </row>
    <row r="6" spans="1:11" x14ac:dyDescent="0.25">
      <c r="A6" s="5">
        <v>3</v>
      </c>
      <c r="B6" s="81" t="s">
        <v>97</v>
      </c>
      <c r="C6" s="6">
        <f>EVALUACION1!$C$24</f>
        <v>5.4</v>
      </c>
      <c r="D6" s="6">
        <f>C58</f>
        <v>6</v>
      </c>
      <c r="E6" s="43">
        <f t="shared" si="0"/>
        <v>5.5500000000000007</v>
      </c>
      <c r="G6" s="1"/>
    </row>
    <row r="7" spans="1:11" ht="15" customHeight="1" x14ac:dyDescent="0.25">
      <c r="A7" s="79">
        <v>4</v>
      </c>
      <c r="B7" s="82" t="s">
        <v>98</v>
      </c>
      <c r="C7" s="80">
        <f>EVALUACION1!$C$24</f>
        <v>5.4</v>
      </c>
      <c r="D7" s="6">
        <f>C69</f>
        <v>6</v>
      </c>
      <c r="E7" s="43">
        <f t="shared" ref="E7" si="1">C7*C$2+D7*D$2</f>
        <v>5.5500000000000007</v>
      </c>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93</v>
      </c>
      <c r="D17" s="16" t="str">
        <f t="shared" ref="D17:D22" si="13">IF($C17=CL,"X","")</f>
        <v/>
      </c>
      <c r="E17" s="16" t="str">
        <f t="shared" ref="E17" si="14">IF(D17="X",100*0.1,"")</f>
        <v/>
      </c>
      <c r="F17" s="16" t="str">
        <f t="shared" ref="F17:F22" si="15">IF($C17=L,"X","")</f>
        <v/>
      </c>
      <c r="G17" s="16" t="str">
        <f t="shared" ref="G17" si="16">IF(F17="X",60*0.1,"")</f>
        <v/>
      </c>
      <c r="H17" s="16" t="str">
        <f t="shared" ref="H17:H22" si="17">IF($C17=ML,"X","")</f>
        <v>X</v>
      </c>
      <c r="I17" s="16">
        <f t="shared" ref="I17" si="18">IF(H17="X",30*0.1,"")</f>
        <v>3</v>
      </c>
      <c r="J17" s="16" t="str">
        <f t="shared" ref="J17:J22" si="19">IF($C17=NL,"X","")</f>
        <v/>
      </c>
      <c r="K17" s="16" t="str">
        <f t="shared" ref="K17:K22" si="20">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3"/>
        <v/>
      </c>
      <c r="E18" s="16" t="str">
        <f t="shared" ref="E18" si="21">IF(D18="X",100*0.1,"")</f>
        <v/>
      </c>
      <c r="F18" s="16" t="str">
        <f t="shared" si="15"/>
        <v>X</v>
      </c>
      <c r="G18" s="16">
        <f t="shared" ref="G18" si="22">IF(F18="X",60*0.1,"")</f>
        <v>6</v>
      </c>
      <c r="H18" s="16" t="str">
        <f t="shared" si="17"/>
        <v/>
      </c>
      <c r="I18" s="16" t="str">
        <f t="shared" ref="I18" si="23">IF(H18="X",30*0.1,"")</f>
        <v/>
      </c>
      <c r="J18" s="16" t="str">
        <f t="shared" si="19"/>
        <v/>
      </c>
      <c r="K18" s="16" t="str">
        <f t="shared" si="20"/>
        <v/>
      </c>
    </row>
    <row r="19" spans="1:11" ht="24" outlineLevel="1" x14ac:dyDescent="0.25">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3"/>
        <v>X</v>
      </c>
      <c r="E21" s="16">
        <f t="shared" si="10"/>
        <v>5</v>
      </c>
      <c r="F21" s="16" t="str">
        <f t="shared" si="15"/>
        <v/>
      </c>
      <c r="G21" s="16" t="str">
        <f t="shared" si="11"/>
        <v/>
      </c>
      <c r="H21" s="16" t="str">
        <f t="shared" si="17"/>
        <v/>
      </c>
      <c r="I21" s="16" t="str">
        <f t="shared" si="12"/>
        <v/>
      </c>
      <c r="J21" s="16" t="str">
        <f t="shared" si="19"/>
        <v/>
      </c>
      <c r="K21" s="16" t="str">
        <f t="shared" si="20"/>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3"/>
        <v/>
      </c>
      <c r="E22" s="16" t="str">
        <f>IF(D22="X",100*0.1,"")</f>
        <v/>
      </c>
      <c r="F22" s="16" t="str">
        <f t="shared" si="15"/>
        <v>X</v>
      </c>
      <c r="G22" s="16">
        <f>IF(F22="X",60*0.1,"")</f>
        <v>6</v>
      </c>
      <c r="H22" s="16" t="str">
        <f t="shared" si="17"/>
        <v/>
      </c>
      <c r="I22" s="16" t="str">
        <f>IF(H22="X",30*0.1,"")</f>
        <v/>
      </c>
      <c r="J22" s="16" t="str">
        <f t="shared" si="19"/>
        <v/>
      </c>
      <c r="K22" s="16" t="str">
        <f t="shared" si="20"/>
        <v/>
      </c>
    </row>
    <row r="23" spans="1:11" ht="15.75" customHeight="1" outlineLevel="1" x14ac:dyDescent="0.3">
      <c r="A23" s="62"/>
      <c r="B23" s="34" t="s">
        <v>11</v>
      </c>
      <c r="C23" s="37">
        <f>E23+G23+I23+K23</f>
        <v>55</v>
      </c>
      <c r="D23" s="19"/>
      <c r="E23" s="19">
        <f>SUM(E13:E22)</f>
        <v>40</v>
      </c>
      <c r="F23" s="19"/>
      <c r="G23" s="19">
        <f>SUM(G13:G22)</f>
        <v>12</v>
      </c>
      <c r="H23" s="19"/>
      <c r="I23" s="19">
        <f>SUM(I13:I22)</f>
        <v>3</v>
      </c>
      <c r="J23" s="19"/>
      <c r="K23" s="19">
        <f>SUM(K13:K22)</f>
        <v>0</v>
      </c>
    </row>
    <row r="24" spans="1:11" ht="15.75" customHeight="1" outlineLevel="1" x14ac:dyDescent="0.3">
      <c r="A24" s="50"/>
      <c r="B24" s="36" t="s">
        <v>12</v>
      </c>
      <c r="C24" s="20">
        <f>VLOOKUP(C23,ESCALA_IEP!A2:B142,2,FALSE)</f>
        <v>5.4</v>
      </c>
    </row>
    <row r="25" spans="1:11" ht="15.75" customHeight="1" x14ac:dyDescent="0.25"/>
    <row r="26" spans="1:11" ht="15.75" customHeight="1" x14ac:dyDescent="0.25"/>
    <row r="27" spans="1:11" ht="15.75" customHeight="1" x14ac:dyDescent="0.25">
      <c r="A27" s="61" t="s">
        <v>13</v>
      </c>
      <c r="B27" s="49" t="s">
        <v>14</v>
      </c>
      <c r="C27" s="51" t="str">
        <f>$B$4</f>
        <v>Franco Barra</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2"/>
      <c r="B32" s="35" t="str">
        <f>RUBRICA!A15</f>
        <v>11. Expone el tema utilizando un lenguaje técnico disciplinar al presentar la propuesta y responde evidenciando un manejo de la información. *</v>
      </c>
      <c r="C32" s="33" t="s">
        <v>8</v>
      </c>
      <c r="D32" s="16" t="str">
        <f t="shared" si="26"/>
        <v/>
      </c>
      <c r="E32" s="16" t="str">
        <f>IF(D32="X",100*0.1,"")</f>
        <v/>
      </c>
      <c r="F32" s="16" t="str">
        <f t="shared" si="27"/>
        <v>X</v>
      </c>
      <c r="G32" s="16">
        <f>IF(F32="X",60*0.1,"")</f>
        <v>6</v>
      </c>
      <c r="H32" s="16" t="str">
        <f t="shared" si="28"/>
        <v/>
      </c>
      <c r="I32" s="16" t="str">
        <f>IF(H32="X",30*0.1,"")</f>
        <v/>
      </c>
      <c r="J32" s="16" t="str">
        <f t="shared" si="29"/>
        <v/>
      </c>
      <c r="K32" s="16" t="str">
        <f t="shared" si="30"/>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1">SUM(G31:G33)</f>
        <v>6</v>
      </c>
      <c r="H34" s="19"/>
      <c r="I34" s="19">
        <f t="shared" si="31"/>
        <v>0</v>
      </c>
      <c r="J34" s="19"/>
      <c r="K34" s="19">
        <f t="shared" si="31"/>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Benjamín Muñoz</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2"/>
      <c r="B44" s="35" t="str">
        <f>RUBRICA!A15</f>
        <v>11. Expone el tema utilizando un lenguaje técnico disciplinar al presentar la propuesta y responde evidenciando un manejo de la información. *</v>
      </c>
      <c r="C44" s="33" t="s">
        <v>8</v>
      </c>
      <c r="D44" s="16" t="str">
        <f t="shared" si="32"/>
        <v/>
      </c>
      <c r="E44" s="16" t="str">
        <f>IF(D44="X",100*0.1,"")</f>
        <v/>
      </c>
      <c r="F44" s="16" t="str">
        <f t="shared" si="33"/>
        <v>X</v>
      </c>
      <c r="G44" s="16">
        <f>IF(F44="X",60*0.1,"")</f>
        <v>6</v>
      </c>
      <c r="H44" s="16" t="str">
        <f t="shared" si="34"/>
        <v/>
      </c>
      <c r="I44" s="16" t="str">
        <f>IF(H44="X",30*0.1,"")</f>
        <v/>
      </c>
      <c r="J44" s="16" t="str">
        <f t="shared" si="35"/>
        <v/>
      </c>
      <c r="K44" s="16" t="str">
        <f t="shared" si="36"/>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7">SUM(G43:G45)</f>
        <v>6</v>
      </c>
      <c r="H46" s="19"/>
      <c r="I46" s="19">
        <f t="shared" ref="I46" si="38">SUM(I43:I45)</f>
        <v>0</v>
      </c>
      <c r="J46" s="19"/>
      <c r="K46" s="19">
        <f t="shared" ref="K46" si="39">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Benjamín Opazo</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2"/>
      <c r="B55" s="35" t="str">
        <f>RUBRICA!A15</f>
        <v>11. Expone el tema utilizando un lenguaje técnico disciplinar al presentar la propuesta y responde evidenciando un manejo de la información. *</v>
      </c>
      <c r="C55" s="33" t="s">
        <v>8</v>
      </c>
      <c r="D55" s="16" t="str">
        <f t="shared" si="40"/>
        <v/>
      </c>
      <c r="E55" s="16" t="str">
        <f>IF(D55="X",100*0.1,"")</f>
        <v/>
      </c>
      <c r="F55" s="16" t="str">
        <f t="shared" si="41"/>
        <v>X</v>
      </c>
      <c r="G55" s="16">
        <f>IF(F55="X",60*0.1,"")</f>
        <v>6</v>
      </c>
      <c r="H55" s="16" t="str">
        <f t="shared" si="42"/>
        <v/>
      </c>
      <c r="I55" s="16" t="str">
        <f>IF(H55="X",30*0.1,"")</f>
        <v/>
      </c>
      <c r="J55" s="16" t="str">
        <f t="shared" si="43"/>
        <v/>
      </c>
      <c r="K55" s="16" t="str">
        <f t="shared" si="44"/>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5">SUM(F54:F56)</f>
        <v>0</v>
      </c>
      <c r="G57" s="19">
        <f t="shared" ref="G57" si="46">SUM(G54:G56)</f>
        <v>6</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c r="A61" s="61" t="s">
        <v>13</v>
      </c>
      <c r="B61" s="49" t="s">
        <v>14</v>
      </c>
      <c r="C61" s="51" t="str">
        <f>B7</f>
        <v>Eduardo Ortega</v>
      </c>
      <c r="D61" s="52"/>
      <c r="E61" s="52"/>
      <c r="F61" s="52"/>
      <c r="G61" s="52"/>
      <c r="H61" s="52"/>
      <c r="I61" s="52"/>
      <c r="J61" s="52"/>
      <c r="K61" s="53"/>
    </row>
    <row r="62" spans="1:11" ht="15.75" customHeight="1" x14ac:dyDescent="0.25">
      <c r="A62" s="62"/>
      <c r="B62" s="50"/>
      <c r="C62" s="54"/>
      <c r="D62" s="55"/>
      <c r="E62" s="55"/>
      <c r="F62" s="55"/>
      <c r="G62" s="55"/>
      <c r="H62" s="55"/>
      <c r="I62" s="55"/>
      <c r="J62" s="55"/>
      <c r="K62" s="56"/>
    </row>
    <row r="63" spans="1:11" ht="15.75" customHeight="1" x14ac:dyDescent="0.25">
      <c r="A63" s="62"/>
      <c r="B63" s="14" t="s">
        <v>15</v>
      </c>
      <c r="C63" s="57" t="s">
        <v>4</v>
      </c>
      <c r="D63" s="58" t="s">
        <v>5</v>
      </c>
      <c r="E63" s="59"/>
      <c r="F63" s="59"/>
      <c r="G63" s="59"/>
      <c r="H63" s="59"/>
      <c r="I63" s="59"/>
      <c r="J63" s="59"/>
      <c r="K63" s="60"/>
    </row>
    <row r="64" spans="1:11" ht="15.75" customHeight="1" x14ac:dyDescent="0.25">
      <c r="A64" s="62"/>
      <c r="B64" s="15" t="s">
        <v>6</v>
      </c>
      <c r="C64" s="50"/>
      <c r="D64" s="58" t="s">
        <v>7</v>
      </c>
      <c r="E64" s="60"/>
      <c r="F64" s="58" t="s">
        <v>8</v>
      </c>
      <c r="G64" s="60"/>
      <c r="H64" s="58" t="s">
        <v>16</v>
      </c>
      <c r="I64" s="60"/>
      <c r="J64" s="58" t="s">
        <v>10</v>
      </c>
      <c r="K64" s="60"/>
    </row>
    <row r="65" spans="1:11" ht="15.75" customHeight="1" x14ac:dyDescent="0.25">
      <c r="A65" s="62"/>
      <c r="B65" s="35" t="str">
        <f>RUBRICA!A7</f>
        <v>3. Relaciona el Proyecto APT con sus intereses profesionales. *</v>
      </c>
      <c r="C65" s="33" t="s">
        <v>7</v>
      </c>
      <c r="D65" s="16" t="str">
        <f t="shared" ref="D65:D66" si="51">IF($C65=CL,"X","")</f>
        <v>X</v>
      </c>
      <c r="E65" s="16">
        <f>IF(D65="X",100*0.1,"")</f>
        <v>10</v>
      </c>
      <c r="F65" s="16" t="str">
        <f t="shared" ref="F65:F66" si="52">IF($C65=L,"X","")</f>
        <v/>
      </c>
      <c r="G65" s="16" t="str">
        <f>IF(F65="X",60*0.1,"")</f>
        <v/>
      </c>
      <c r="H65" s="16" t="str">
        <f t="shared" ref="H65:H66" si="53">IF($C65=ML,"X","")</f>
        <v/>
      </c>
      <c r="I65" s="16" t="str">
        <f>IF(H65="X",30*0.1,"")</f>
        <v/>
      </c>
      <c r="J65" s="16" t="str">
        <f t="shared" ref="J65:J66" si="54">IF($C65=NL,"X","")</f>
        <v/>
      </c>
      <c r="K65" s="16" t="str">
        <f t="shared" ref="K65:K66" si="55">IF($J65="X",0,"")</f>
        <v/>
      </c>
    </row>
    <row r="66" spans="1:11" ht="24" x14ac:dyDescent="0.25">
      <c r="A66" s="62"/>
      <c r="B66" s="35" t="str">
        <f>RUBRICA!A15</f>
        <v>11. Expone el tema utilizando un lenguaje técnico disciplinar al presentar la propuesta y responde evidenciando un manejo de la información. *</v>
      </c>
      <c r="C66" s="33" t="s">
        <v>8</v>
      </c>
      <c r="D66" s="16" t="str">
        <f t="shared" si="51"/>
        <v/>
      </c>
      <c r="E66" s="16" t="str">
        <f>IF(D66="X",100*0.1,"")</f>
        <v/>
      </c>
      <c r="F66" s="16" t="str">
        <f t="shared" si="52"/>
        <v>X</v>
      </c>
      <c r="G66" s="16">
        <f>IF(F66="X",60*0.1,"")</f>
        <v>6</v>
      </c>
      <c r="H66" s="16" t="str">
        <f t="shared" si="53"/>
        <v/>
      </c>
      <c r="I66" s="16" t="str">
        <f>IF(H66="X",30*0.1,"")</f>
        <v/>
      </c>
      <c r="J66" s="16" t="str">
        <f t="shared" si="54"/>
        <v/>
      </c>
      <c r="K66" s="16" t="str">
        <f t="shared" si="55"/>
        <v/>
      </c>
    </row>
    <row r="67" spans="1:11" ht="15.75" customHeight="1" x14ac:dyDescent="0.25">
      <c r="A67" s="62"/>
      <c r="B67" s="35" t="str">
        <f>RUBRICA!A17</f>
        <v>13. Colaboración y trabajo en equipo *</v>
      </c>
      <c r="C67" s="33" t="s">
        <v>7</v>
      </c>
      <c r="D67" s="16" t="str">
        <f>IF($C67=CL,"X","")</f>
        <v>X</v>
      </c>
      <c r="E67" s="16">
        <f>IF(D67="X",100*0.1,"")</f>
        <v>10</v>
      </c>
      <c r="F67" s="16" t="str">
        <f>IF($C67=L,"X","")</f>
        <v/>
      </c>
      <c r="G67" s="16" t="str">
        <f>IF(F67="X",60*0.1,"")</f>
        <v/>
      </c>
      <c r="H67" s="16" t="str">
        <f>IF($C67=ML,"X","")</f>
        <v/>
      </c>
      <c r="I67" s="16" t="str">
        <f>IF(H67="X",30*0.1,"")</f>
        <v/>
      </c>
      <c r="J67" s="16" t="str">
        <f>IF($C67=NL,"X","")</f>
        <v/>
      </c>
      <c r="K67" s="16" t="str">
        <f>IF($J67="X",0,"")</f>
        <v/>
      </c>
    </row>
    <row r="68" spans="1:11" ht="15.75" customHeight="1" x14ac:dyDescent="0.3">
      <c r="A68" s="62"/>
      <c r="B68" s="21" t="s">
        <v>17</v>
      </c>
      <c r="C68" s="18">
        <f>E68+G68+I68+K68</f>
        <v>26</v>
      </c>
      <c r="D68" s="19">
        <f>COUNTIF(D66:D67,"X")</f>
        <v>1</v>
      </c>
      <c r="E68" s="19">
        <f>SUM(E65:E67)</f>
        <v>20</v>
      </c>
      <c r="F68" s="19">
        <f t="shared" ref="F68:K68" si="56">SUM(F65:F67)</f>
        <v>0</v>
      </c>
      <c r="G68" s="19">
        <f t="shared" si="56"/>
        <v>6</v>
      </c>
      <c r="H68" s="19">
        <f t="shared" si="56"/>
        <v>0</v>
      </c>
      <c r="I68" s="19">
        <f t="shared" si="56"/>
        <v>0</v>
      </c>
      <c r="J68" s="19">
        <f t="shared" si="56"/>
        <v>0</v>
      </c>
      <c r="K68" s="19">
        <f t="shared" si="56"/>
        <v>0</v>
      </c>
    </row>
    <row r="69" spans="1:11" ht="15.75" customHeight="1" x14ac:dyDescent="0.3">
      <c r="A69" s="50"/>
      <c r="B69" s="17" t="s">
        <v>12</v>
      </c>
      <c r="C69" s="20">
        <f>VLOOKUP(C68,ESCALA_TRAB_EQUIP!A13:B73,2,FALSE)</f>
        <v>6</v>
      </c>
    </row>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A61:A69"/>
    <mergeCell ref="B61:B62"/>
    <mergeCell ref="C61:K62"/>
    <mergeCell ref="C63:C64"/>
    <mergeCell ref="D63:K63"/>
    <mergeCell ref="D64:E64"/>
    <mergeCell ref="F64:G64"/>
    <mergeCell ref="H64:I64"/>
    <mergeCell ref="J64:K6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2026-09-07T14:02:34Z</dcterms:modified>
  <cp:category/>
  <cp:contentStatus/>
</cp:coreProperties>
</file>